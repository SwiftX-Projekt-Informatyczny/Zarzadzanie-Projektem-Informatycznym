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2"/>
    <sheet name="Arkusz2" sheetId="2" state="visible" r:id="rId3"/>
    <sheet name="Arkusz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<sst xmlns="http://schemas.openxmlformats.org/spreadsheetml/2006/main" count="128" uniqueCount="49">
  <si>
    <t xml:space="preserve">Organizacja Test &amp; Test plan finansowy dla sprzedaży licencji aplikacji AS Compressor </t>
  </si>
  <si>
    <t xml:space="preserve">Ilość sprzedanych aplikacji w sieci dystrybucyjnej</t>
  </si>
  <si>
    <t xml:space="preserve">Ilość sprzedanych aplikacji w sprzedaży bezpośredniej</t>
  </si>
  <si>
    <t xml:space="preserve">Koszty miesieczne I rok projektu</t>
  </si>
  <si>
    <t xml:space="preserve">Cashflow</t>
  </si>
  <si>
    <t xml:space="preserve">średni zysk z użytkownika premium za szt (brutto)</t>
  </si>
  <si>
    <t xml:space="preserve">Miesiąć</t>
  </si>
  <si>
    <t xml:space="preserve">Ilość nowych pobrań Fremium</t>
  </si>
  <si>
    <t xml:space="preserve">Ilość konwersji na premium</t>
  </si>
  <si>
    <t xml:space="preserve">Przychód w USD (brutto)</t>
  </si>
  <si>
    <t xml:space="preserve">Przychód w zł (brutto)</t>
  </si>
  <si>
    <t xml:space="preserve">Lp.</t>
  </si>
  <si>
    <t xml:space="preserve">nazwa</t>
  </si>
  <si>
    <t xml:space="preserve">Ilość</t>
  </si>
  <si>
    <t xml:space="preserve">kwota brutto za 1 szt</t>
  </si>
  <si>
    <t xml:space="preserve">Kwota brutto razem</t>
  </si>
  <si>
    <t xml:space="preserve">Uwagi</t>
  </si>
  <si>
    <t xml:space="preserve">Miesiąc</t>
  </si>
  <si>
    <t xml:space="preserve">Łączna ilość sprzedanych aplikacji</t>
  </si>
  <si>
    <t xml:space="preserve">Przychód brutto</t>
  </si>
  <si>
    <t xml:space="preserve">Koszt miesieczny</t>
  </si>
  <si>
    <t xml:space="preserve">Koszt jednorazowy</t>
  </si>
  <si>
    <t xml:space="preserve">Bilans zysku w miesiącu</t>
  </si>
  <si>
    <t xml:space="preserve">Bilans razem (zysk łączny)</t>
  </si>
  <si>
    <t xml:space="preserve">Śr ilość mikrodoładowań z na 100 aktywnych aplikacji</t>
  </si>
  <si>
    <t xml:space="preserve">Wynajem biura</t>
  </si>
  <si>
    <t xml:space="preserve">Biuro w Olsztynie</t>
  </si>
  <si>
    <t xml:space="preserve">Księgowowość</t>
  </si>
  <si>
    <t xml:space="preserve">Serwery</t>
  </si>
  <si>
    <t xml:space="preserve">Koolokacja</t>
  </si>
  <si>
    <t xml:space="preserve">Wynagrodznie programista</t>
  </si>
  <si>
    <t xml:space="preserve">koszt z ZUS</t>
  </si>
  <si>
    <t xml:space="preserve">Wynagrodznie tester</t>
  </si>
  <si>
    <t xml:space="preserve">Wynagrodzenie Marketingowiec i PR</t>
  </si>
  <si>
    <t xml:space="preserve">Wynagrodzenie Zarząd</t>
  </si>
  <si>
    <t xml:space="preserve">Marketing i reklama</t>
  </si>
  <si>
    <t xml:space="preserve">Inne</t>
  </si>
  <si>
    <t xml:space="preserve">Kawa, herbata, prąd, materiały biurowe, tonnery do drukarek, papier, znaczki, paczki itp.</t>
  </si>
  <si>
    <t xml:space="preserve">Razem</t>
  </si>
  <si>
    <t xml:space="preserve">Koszty miesieczne II rok projektu</t>
  </si>
  <si>
    <t xml:space="preserve">Wynagrodzenie Marketingowiec</t>
  </si>
  <si>
    <t xml:space="preserve">Koszty miesieczne III rok projektu</t>
  </si>
  <si>
    <t xml:space="preserve">Koszty jednorazowe I rok projektu</t>
  </si>
  <si>
    <t xml:space="preserve">Stanowiska komputerowe</t>
  </si>
  <si>
    <t xml:space="preserve">Stanowiska meblowe</t>
  </si>
  <si>
    <t xml:space="preserve">Drukarki</t>
  </si>
  <si>
    <t xml:space="preserve">Pozostałe rzeczy wyposażenia biura</t>
  </si>
  <si>
    <t xml:space="preserve">Koszty jednorazowe II rok projektu</t>
  </si>
  <si>
    <t xml:space="preserve">Koszty jednorazowe III rok projektu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</si>
</sst>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\ [$USD]"/>
    <numFmt numFmtId="166" formatCode="#,##0&quot; zł&quot;;[RED]\-#,##0&quot; zł&quot;"/>
    <numFmt numFmtId="167" formatCode="#,##0"/>
    <numFmt numFmtId="168" formatCode="0"/>
    <numFmt numFmtId="169" formatCode="#,##0\ [$USD]"/>
    <numFmt numFmtId="170" formatCode="#,##0&quot; zł&quot;"/>
  </numFmts>
  <fonts count="10">
    <font>
      <sz val="11"/>
      <color rgb="FF000000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26"/>
      <color rgb="FF000000"/>
      <name val="Calibri"/>
      <family val="2"/>
      <charset val="238"/>
    </font>
    <font>
      <b val="true"/>
      <sz val="16"/>
      <color rgb="FF000000"/>
      <name val="Calibri"/>
      <family val="2"/>
      <charset val="238"/>
    </font>
    <font>
      <b val="true"/>
      <sz val="20"/>
      <color rgb="FF000000"/>
      <name val="Calibri"/>
      <family val="2"/>
      <charset val="238"/>
    </font>
    <font>
      <b val="true"/>
      <sz val="11"/>
      <color rgb="FF000000"/>
      <name val="Calibri"/>
      <family val="2"/>
      <charset val="238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3CDDD"/>
        <bgColor rgb="FFC0C0C0"/>
      </patternFill>
    </fill>
    <fill>
      <patternFill patternType="solid">
        <fgColor rgb="FFFCD5B5"/>
        <bgColor rgb="FFF2DCDB"/>
      </patternFill>
    </fill>
    <fill>
      <patternFill patternType="solid">
        <fgColor rgb="FFF2DCDB"/>
        <bgColor rgb="FFD9D9D9"/>
      </patternFill>
    </fill>
    <fill>
      <patternFill patternType="solid">
        <fgColor rgb="FF92D050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2DCD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DDD"/>
      <rgbColor rgb="FFFF99CC"/>
      <rgbColor rgb="FFCC99FF"/>
      <rgbColor rgb="FFFCD5B5"/>
      <rgbColor rgb="FF3366FF"/>
      <rgbColor rgb="FF33CCCC"/>
      <rgbColor rgb="FF92D05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Bilans razem (zysk łączny)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Arkusz1!$AD$8</c:f>
              <c:strCache>
                <c:ptCount val="1"/>
                <c:pt idx="0">
                  <c:v>Bilans razem (zysk łączny)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Arkusz1!$AD$9:$AD$44</c:f>
              <c:numCache>
                <c:formatCode>General</c:formatCode>
                <c:ptCount val="36"/>
                <c:pt idx="0">
                  <c:v>-107400</c:v>
                </c:pt>
                <c:pt idx="1">
                  <c:v>-172800</c:v>
                </c:pt>
                <c:pt idx="2">
                  <c:v>-226200</c:v>
                </c:pt>
                <c:pt idx="3">
                  <c:v>-267600</c:v>
                </c:pt>
                <c:pt idx="4">
                  <c:v>-297000</c:v>
                </c:pt>
                <c:pt idx="5">
                  <c:v>-314400</c:v>
                </c:pt>
                <c:pt idx="6">
                  <c:v>-319800</c:v>
                </c:pt>
                <c:pt idx="7">
                  <c:v>-313200</c:v>
                </c:pt>
                <c:pt idx="8">
                  <c:v>-294600</c:v>
                </c:pt>
                <c:pt idx="9">
                  <c:v>-264000</c:v>
                </c:pt>
                <c:pt idx="10">
                  <c:v>-221400</c:v>
                </c:pt>
                <c:pt idx="11">
                  <c:v>-166800</c:v>
                </c:pt>
                <c:pt idx="12">
                  <c:v>-148800</c:v>
                </c:pt>
                <c:pt idx="13">
                  <c:v>-147600</c:v>
                </c:pt>
                <c:pt idx="14">
                  <c:v>-105600</c:v>
                </c:pt>
                <c:pt idx="15">
                  <c:v>-51600</c:v>
                </c:pt>
                <c:pt idx="16">
                  <c:v>14400</c:v>
                </c:pt>
                <c:pt idx="17">
                  <c:v>92400</c:v>
                </c:pt>
                <c:pt idx="18">
                  <c:v>182400</c:v>
                </c:pt>
                <c:pt idx="19">
                  <c:v>284400</c:v>
                </c:pt>
                <c:pt idx="20">
                  <c:v>398400</c:v>
                </c:pt>
                <c:pt idx="21">
                  <c:v>524400</c:v>
                </c:pt>
                <c:pt idx="22">
                  <c:v>662400</c:v>
                </c:pt>
                <c:pt idx="23">
                  <c:v>812400</c:v>
                </c:pt>
                <c:pt idx="24">
                  <c:v>815700</c:v>
                </c:pt>
                <c:pt idx="25">
                  <c:v>859800</c:v>
                </c:pt>
                <c:pt idx="26">
                  <c:v>915900</c:v>
                </c:pt>
                <c:pt idx="27">
                  <c:v>984000</c:v>
                </c:pt>
                <c:pt idx="28">
                  <c:v>1064100</c:v>
                </c:pt>
                <c:pt idx="29">
                  <c:v>1156200</c:v>
                </c:pt>
                <c:pt idx="30">
                  <c:v>1260300</c:v>
                </c:pt>
                <c:pt idx="31">
                  <c:v>1376400</c:v>
                </c:pt>
                <c:pt idx="32">
                  <c:v>1504500</c:v>
                </c:pt>
                <c:pt idx="33">
                  <c:v>1644600</c:v>
                </c:pt>
                <c:pt idx="34">
                  <c:v>1796700</c:v>
                </c:pt>
                <c:pt idx="35">
                  <c:v>1960800</c:v>
                </c:pt>
              </c:numCache>
            </c:numRef>
          </c:val>
        </c:ser>
        <c:gapWidth val="150"/>
        <c:overlap val="0"/>
        <c:axId val="73141865"/>
        <c:axId val="61803214"/>
      </c:barChart>
      <c:catAx>
        <c:axId val="7314186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03214"/>
        <c:crosses val="autoZero"/>
        <c:auto val="1"/>
        <c:lblAlgn val="ctr"/>
        <c:lblOffset val="100"/>
        <c:noMultiLvlLbl val="0"/>
      </c:catAx>
      <c:valAx>
        <c:axId val="618032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zł&quot;;[RED]\-#,##0&quot; zł&quot;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418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32</xdr:col>
      <xdr:colOff>162000</xdr:colOff>
      <xdr:row>13</xdr:row>
      <xdr:rowOff>0</xdr:rowOff>
    </xdr:from>
    <xdr:to>
      <xdr:col>49</xdr:col>
      <xdr:colOff>161640</xdr:colOff>
      <xdr:row>41</xdr:row>
      <xdr:rowOff>79920</xdr:rowOff>
    </xdr:to>
    <xdr:graphicFrame>
      <xdr:nvGraphicFramePr>
        <xdr:cNvPr id="0" name="Wykres 1"/>
        <xdr:cNvGraphicFramePr/>
      </xdr:nvGraphicFramePr>
      <xdr:xfrm>
        <a:off x="33698160" y="3596760"/>
        <a:ext cx="10395360" cy="596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AH75"/>
  <sheetViews>
    <sheetView showFormulas="false" showGridLines="true" showRowColHeaders="true" showZeros="true" rightToLeft="false" tabSelected="true" showOutlineSymbols="true" defaultGridColor="true" view="normal" topLeftCell="AE7" colorId="64" zoomScale="100" zoomScaleNormal="100" zoomScalePageLayoutView="100" workbookViewId="0">
      <selection pane="topLeft" activeCell="V47" activeCellId="0" sqref="V47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21.14"/>
    <col collapsed="false" customWidth="true" hidden="false" outlineLevel="0" max="5" min="5" style="0" width="20.71"/>
    <col collapsed="false" customWidth="true" hidden="false" outlineLevel="0" max="6" min="6" style="0" width="14.42"/>
    <col collapsed="false" customWidth="true" hidden="false" outlineLevel="0" max="7" min="7" style="0" width="14.71"/>
    <col collapsed="false" customWidth="true" hidden="false" outlineLevel="0" max="10" min="10" style="0" width="23"/>
    <col collapsed="false" customWidth="true" hidden="false" outlineLevel="0" max="11" min="11" style="0" width="16.14"/>
    <col collapsed="false" customWidth="true" hidden="false" outlineLevel="0" max="12" min="12" style="0" width="14.14"/>
    <col collapsed="false" customWidth="true" hidden="false" outlineLevel="0" max="13" min="13" style="0" width="14.42"/>
    <col collapsed="false" customWidth="true" hidden="false" outlineLevel="0" max="14" min="14" style="0" width="10.71"/>
    <col collapsed="false" customWidth="true" hidden="false" outlineLevel="0" max="17" min="17" style="0" width="35"/>
    <col collapsed="false" customWidth="true" hidden="false" outlineLevel="0" max="19" min="19" style="0" width="27"/>
    <col collapsed="false" customWidth="true" hidden="false" outlineLevel="0" max="20" min="20" style="0" width="12.29"/>
    <col collapsed="false" customWidth="true" hidden="false" outlineLevel="0" max="21" min="21" style="0" width="18.29"/>
    <col collapsed="false" customWidth="true" hidden="false" outlineLevel="0" max="22" min="22" style="0" width="14.86"/>
    <col collapsed="false" customWidth="true" hidden="false" outlineLevel="0" max="23" min="23" style="0" width="17.15"/>
    <col collapsed="false" customWidth="true" hidden="false" outlineLevel="0" max="25" min="25" style="0" width="15.14"/>
    <col collapsed="false" customWidth="true" hidden="false" outlineLevel="0" max="26" min="26" style="0" width="16.14"/>
    <col collapsed="false" customWidth="true" hidden="false" outlineLevel="0" max="28" min="27" style="0" width="20.14"/>
    <col collapsed="false" customWidth="true" hidden="false" outlineLevel="0" max="29" min="29" style="0" width="16.43"/>
    <col collapsed="false" customWidth="true" hidden="false" outlineLevel="0" max="30" min="30" style="0" width="12.29"/>
    <col collapsed="false" customWidth="true" hidden="false" outlineLevel="0" max="31" min="31" style="0" width="11.14"/>
    <col collapsed="false" customWidth="true" hidden="false" outlineLevel="0" max="32" min="32" style="0" width="12.29"/>
  </cols>
  <sheetData>
    <row r="4" customFormat="false" ht="33.75" hidden="false" customHeight="false" outlineLevel="0" collapsed="false">
      <c r="F4" s="1" t="s">
        <v>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customFormat="false" ht="22.5" hidden="false" customHeight="true" outlineLevel="0" collapsed="false">
      <c r="F5" s="2"/>
      <c r="G5" s="2"/>
      <c r="H5" s="2"/>
      <c r="I5" s="2"/>
      <c r="J5" s="2"/>
      <c r="K5" s="2"/>
      <c r="L5" s="2"/>
      <c r="M5" s="2"/>
      <c r="N5" s="2"/>
    </row>
    <row r="7" customFormat="false" ht="30" hidden="false" customHeight="true" outlineLevel="0" collapsed="false">
      <c r="C7" s="4" t="s">
        <v>1</v>
      </c>
      <c r="D7" s="4"/>
      <c r="E7" s="4"/>
      <c r="F7" s="4"/>
      <c r="G7" s="4"/>
      <c r="I7" s="4" t="s">
        <v>2</v>
      </c>
      <c r="J7" s="4"/>
      <c r="K7" s="4"/>
      <c r="L7" s="4"/>
      <c r="M7" s="4"/>
      <c r="P7" s="4" t="s">
        <v>3</v>
      </c>
      <c r="Q7" s="4"/>
      <c r="R7" s="4"/>
      <c r="S7" s="4"/>
      <c r="T7" s="4"/>
      <c r="U7" s="4"/>
      <c r="X7" s="5" t="s">
        <v>4</v>
      </c>
      <c r="Y7" s="5"/>
      <c r="Z7" s="5"/>
      <c r="AA7" s="5"/>
      <c r="AB7" s="5"/>
      <c r="AC7" s="5"/>
      <c r="AD7" s="5"/>
    </row>
    <row r="8" customFormat="false" ht="35.25" hidden="false" customHeight="true" outlineLevel="0" collapsed="false">
      <c r="C8" s="6" t="s">
        <v>5</v>
      </c>
      <c r="D8" s="6"/>
      <c r="E8" s="7" t="n">
        <v>50</v>
      </c>
      <c r="F8" s="8" t="n">
        <v>200</v>
      </c>
      <c r="G8" s="9"/>
      <c r="I8" s="10" t="s">
        <v>6</v>
      </c>
      <c r="J8" s="11" t="s">
        <v>7</v>
      </c>
      <c r="K8" s="11" t="s">
        <v>8</v>
      </c>
      <c r="L8" s="10" t="s">
        <v>9</v>
      </c>
      <c r="M8" s="10" t="s">
        <v>10</v>
      </c>
      <c r="P8" s="10" t="s">
        <v>11</v>
      </c>
      <c r="Q8" s="10" t="s">
        <v>12</v>
      </c>
      <c r="R8" s="10" t="s">
        <v>13</v>
      </c>
      <c r="S8" s="10" t="s">
        <v>14</v>
      </c>
      <c r="T8" s="10" t="s">
        <v>15</v>
      </c>
      <c r="U8" s="10" t="s">
        <v>16</v>
      </c>
      <c r="X8" s="12" t="s">
        <v>17</v>
      </c>
      <c r="Y8" s="12" t="s">
        <v>18</v>
      </c>
      <c r="Z8" s="12" t="s">
        <v>19</v>
      </c>
      <c r="AA8" s="12" t="s">
        <v>20</v>
      </c>
      <c r="AB8" s="12" t="s">
        <v>21</v>
      </c>
      <c r="AC8" s="12" t="s">
        <v>22</v>
      </c>
      <c r="AD8" s="12" t="s">
        <v>23</v>
      </c>
      <c r="AE8" s="13"/>
      <c r="AF8" s="13"/>
      <c r="AG8" s="13"/>
    </row>
    <row r="9" customFormat="false" ht="46.5" hidden="false" customHeight="true" outlineLevel="0" collapsed="false">
      <c r="C9" s="14" t="s">
        <v>24</v>
      </c>
      <c r="D9" s="14"/>
      <c r="E9" s="9" t="n">
        <v>5</v>
      </c>
      <c r="F9" s="9"/>
      <c r="G9" s="9"/>
      <c r="I9" s="15" t="n">
        <v>1</v>
      </c>
      <c r="J9" s="16" t="n">
        <v>1000</v>
      </c>
      <c r="K9" s="17" t="n">
        <f aca="false">J9/$E$9</f>
        <v>200</v>
      </c>
      <c r="L9" s="18" t="n">
        <f aca="false">K9*$E$8</f>
        <v>10000</v>
      </c>
      <c r="M9" s="19" t="n">
        <f aca="false">K9*$F$8</f>
        <v>40000</v>
      </c>
      <c r="N9" s="20"/>
      <c r="P9" s="21" t="n">
        <v>1</v>
      </c>
      <c r="Q9" s="22" t="s">
        <v>25</v>
      </c>
      <c r="R9" s="22" t="n">
        <v>2</v>
      </c>
      <c r="S9" s="23" t="n">
        <v>5000</v>
      </c>
      <c r="T9" s="23" t="n">
        <f aca="false">S9*R9</f>
        <v>10000</v>
      </c>
      <c r="U9" s="22" t="s">
        <v>26</v>
      </c>
      <c r="X9" s="22" t="n">
        <v>1</v>
      </c>
      <c r="Y9" s="17" t="n">
        <f aca="false">K9</f>
        <v>200</v>
      </c>
      <c r="Z9" s="19" t="n">
        <f aca="false">Y9*$F$8</f>
        <v>40000</v>
      </c>
      <c r="AA9" s="23" t="n">
        <f aca="false">$T$18</f>
        <v>117400</v>
      </c>
      <c r="AB9" s="23" t="n">
        <f aca="false">T57</f>
        <v>30000</v>
      </c>
      <c r="AC9" s="19" t="n">
        <f aca="false">Z9-AA9-AB9</f>
        <v>-107400</v>
      </c>
      <c r="AD9" s="19" t="n">
        <f aca="false">AC9</f>
        <v>-107400</v>
      </c>
    </row>
    <row r="10" customFormat="false" ht="13.8" hidden="false" customHeight="false" outlineLevel="0" collapsed="false">
      <c r="I10" s="15" t="n">
        <v>2</v>
      </c>
      <c r="J10" s="16" t="n">
        <v>1300</v>
      </c>
      <c r="K10" s="17" t="n">
        <f aca="false">J10/$E$9</f>
        <v>260</v>
      </c>
      <c r="L10" s="18" t="n">
        <f aca="false">K10*$E$8</f>
        <v>13000</v>
      </c>
      <c r="M10" s="19" t="n">
        <f aca="false">K10*$F$8</f>
        <v>52000</v>
      </c>
      <c r="N10" s="20"/>
      <c r="P10" s="21" t="n">
        <v>2</v>
      </c>
      <c r="Q10" s="22" t="s">
        <v>27</v>
      </c>
      <c r="R10" s="22" t="n">
        <v>1</v>
      </c>
      <c r="S10" s="23" t="n">
        <v>1500</v>
      </c>
      <c r="T10" s="23" t="n">
        <f aca="false">S10*R10</f>
        <v>1500</v>
      </c>
      <c r="U10" s="22"/>
      <c r="X10" s="22" t="n">
        <v>2</v>
      </c>
      <c r="Y10" s="22" t="n">
        <f aca="false">K10</f>
        <v>260</v>
      </c>
      <c r="Z10" s="19" t="n">
        <f aca="false">Y10*$F$8</f>
        <v>52000</v>
      </c>
      <c r="AA10" s="23" t="n">
        <f aca="false">$T$18</f>
        <v>117400</v>
      </c>
      <c r="AB10" s="23" t="n">
        <v>0</v>
      </c>
      <c r="AC10" s="19" t="n">
        <f aca="false">Z10-AA10-AB10</f>
        <v>-65400</v>
      </c>
      <c r="AD10" s="19" t="n">
        <f aca="false">AD9+AC10</f>
        <v>-172800</v>
      </c>
    </row>
    <row r="11" customFormat="false" ht="13.8" hidden="false" customHeight="false" outlineLevel="0" collapsed="false">
      <c r="I11" s="15" t="n">
        <v>3</v>
      </c>
      <c r="J11" s="16" t="n">
        <v>1600</v>
      </c>
      <c r="K11" s="17" t="n">
        <f aca="false">J11/$E$9</f>
        <v>320</v>
      </c>
      <c r="L11" s="18" t="n">
        <f aca="false">K11*$E$8</f>
        <v>16000</v>
      </c>
      <c r="M11" s="19" t="n">
        <f aca="false">K11*$F$8</f>
        <v>64000</v>
      </c>
      <c r="N11" s="20"/>
      <c r="P11" s="21" t="n">
        <v>3</v>
      </c>
      <c r="Q11" s="22" t="s">
        <v>28</v>
      </c>
      <c r="R11" s="22" t="n">
        <v>4</v>
      </c>
      <c r="S11" s="23" t="n">
        <v>600</v>
      </c>
      <c r="T11" s="23" t="n">
        <f aca="false">S11*R11</f>
        <v>2400</v>
      </c>
      <c r="U11" s="22" t="s">
        <v>29</v>
      </c>
      <c r="X11" s="22" t="n">
        <v>3</v>
      </c>
      <c r="Y11" s="17" t="n">
        <f aca="false">K11</f>
        <v>320</v>
      </c>
      <c r="Z11" s="19" t="n">
        <f aca="false">Y11*$F$8</f>
        <v>64000</v>
      </c>
      <c r="AA11" s="23" t="n">
        <f aca="false">$T$18</f>
        <v>117400</v>
      </c>
      <c r="AB11" s="23" t="n">
        <v>0</v>
      </c>
      <c r="AC11" s="19" t="n">
        <f aca="false">Z11-AA11-AB11</f>
        <v>-53400</v>
      </c>
      <c r="AD11" s="19" t="n">
        <f aca="false">AD10+AC11</f>
        <v>-226200</v>
      </c>
    </row>
    <row r="12" customFormat="false" ht="13.8" hidden="false" customHeight="false" outlineLevel="0" collapsed="false">
      <c r="I12" s="15" t="n">
        <v>4</v>
      </c>
      <c r="J12" s="16" t="n">
        <v>1900</v>
      </c>
      <c r="K12" s="17" t="n">
        <f aca="false">J12/$E$9</f>
        <v>380</v>
      </c>
      <c r="L12" s="18" t="n">
        <f aca="false">K12*$E$8</f>
        <v>19000</v>
      </c>
      <c r="M12" s="19" t="n">
        <f aca="false">K12*$F$8</f>
        <v>76000</v>
      </c>
      <c r="N12" s="20"/>
      <c r="P12" s="21" t="n">
        <v>4</v>
      </c>
      <c r="Q12" s="22" t="s">
        <v>30</v>
      </c>
      <c r="R12" s="22" t="n">
        <v>2</v>
      </c>
      <c r="S12" s="23" t="n">
        <v>13000</v>
      </c>
      <c r="T12" s="23" t="n">
        <f aca="false">S12*R12</f>
        <v>26000</v>
      </c>
      <c r="U12" s="22" t="s">
        <v>31</v>
      </c>
      <c r="X12" s="22" t="n">
        <v>4</v>
      </c>
      <c r="Y12" s="17" t="n">
        <f aca="false">K12</f>
        <v>380</v>
      </c>
      <c r="Z12" s="19" t="n">
        <f aca="false">Y12*$F$8</f>
        <v>76000</v>
      </c>
      <c r="AA12" s="23" t="n">
        <f aca="false">$T$18</f>
        <v>117400</v>
      </c>
      <c r="AB12" s="23" t="n">
        <v>0</v>
      </c>
      <c r="AC12" s="19" t="n">
        <f aca="false">Z12-AA12-AB12</f>
        <v>-41400</v>
      </c>
      <c r="AD12" s="19" t="n">
        <f aca="false">AD11+AC12</f>
        <v>-267600</v>
      </c>
    </row>
    <row r="13" customFormat="false" ht="13.8" hidden="false" customHeight="false" outlineLevel="0" collapsed="false">
      <c r="I13" s="15" t="n">
        <v>5</v>
      </c>
      <c r="J13" s="16" t="n">
        <v>2200</v>
      </c>
      <c r="K13" s="17" t="n">
        <f aca="false">J13/$E$9</f>
        <v>440</v>
      </c>
      <c r="L13" s="18" t="n">
        <f aca="false">K13*$E$8</f>
        <v>22000</v>
      </c>
      <c r="M13" s="19" t="n">
        <f aca="false">K13*$F$8</f>
        <v>88000</v>
      </c>
      <c r="N13" s="20"/>
      <c r="P13" s="21" t="n">
        <v>5</v>
      </c>
      <c r="Q13" s="22" t="s">
        <v>32</v>
      </c>
      <c r="R13" s="22" t="n">
        <v>4</v>
      </c>
      <c r="S13" s="23" t="n">
        <v>7500</v>
      </c>
      <c r="T13" s="23" t="n">
        <f aca="false">S13*R13</f>
        <v>30000</v>
      </c>
      <c r="U13" s="22" t="s">
        <v>31</v>
      </c>
      <c r="X13" s="22" t="n">
        <v>5</v>
      </c>
      <c r="Y13" s="17" t="n">
        <f aca="false">K13</f>
        <v>440</v>
      </c>
      <c r="Z13" s="19" t="n">
        <f aca="false">Y13*$F$8</f>
        <v>88000</v>
      </c>
      <c r="AA13" s="23" t="n">
        <f aca="false">$T$18</f>
        <v>117400</v>
      </c>
      <c r="AB13" s="23" t="n">
        <v>0</v>
      </c>
      <c r="AC13" s="19" t="n">
        <f aca="false">Z13-AA13-AB13</f>
        <v>-29400</v>
      </c>
      <c r="AD13" s="19" t="n">
        <f aca="false">AD12+AC13</f>
        <v>-297000</v>
      </c>
    </row>
    <row r="14" customFormat="false" ht="13.8" hidden="false" customHeight="false" outlineLevel="0" collapsed="false">
      <c r="I14" s="15" t="n">
        <v>6</v>
      </c>
      <c r="J14" s="16" t="n">
        <v>2500</v>
      </c>
      <c r="K14" s="17" t="n">
        <f aca="false">J14/$E$9</f>
        <v>500</v>
      </c>
      <c r="L14" s="18" t="n">
        <f aca="false">K14*$E$8</f>
        <v>25000</v>
      </c>
      <c r="M14" s="19" t="n">
        <f aca="false">K14*$F$8</f>
        <v>100000</v>
      </c>
      <c r="N14" s="20"/>
      <c r="P14" s="21" t="n">
        <v>6</v>
      </c>
      <c r="Q14" s="22" t="s">
        <v>33</v>
      </c>
      <c r="R14" s="22" t="n">
        <v>1</v>
      </c>
      <c r="S14" s="23" t="n">
        <v>10500</v>
      </c>
      <c r="T14" s="23" t="n">
        <f aca="false">S14*R14</f>
        <v>10500</v>
      </c>
      <c r="U14" s="22" t="s">
        <v>31</v>
      </c>
      <c r="X14" s="22" t="n">
        <v>6</v>
      </c>
      <c r="Y14" s="17" t="n">
        <f aca="false">K14</f>
        <v>500</v>
      </c>
      <c r="Z14" s="19" t="n">
        <f aca="false">Y14*$F$8</f>
        <v>100000</v>
      </c>
      <c r="AA14" s="23" t="n">
        <f aca="false">$T$18</f>
        <v>117400</v>
      </c>
      <c r="AB14" s="23" t="n">
        <v>0</v>
      </c>
      <c r="AC14" s="19" t="n">
        <f aca="false">Z14-AA14-AB14</f>
        <v>-17400</v>
      </c>
      <c r="AD14" s="19" t="n">
        <f aca="false">AD13+AC14</f>
        <v>-314400</v>
      </c>
    </row>
    <row r="15" customFormat="false" ht="13.8" hidden="false" customHeight="false" outlineLevel="0" collapsed="false">
      <c r="I15" s="15" t="n">
        <v>7</v>
      </c>
      <c r="J15" s="16" t="n">
        <v>2800</v>
      </c>
      <c r="K15" s="17" t="n">
        <f aca="false">J15/$E$9</f>
        <v>560</v>
      </c>
      <c r="L15" s="18" t="n">
        <f aca="false">K15*$E$8</f>
        <v>28000</v>
      </c>
      <c r="M15" s="19" t="n">
        <f aca="false">K15*$F$8</f>
        <v>112000</v>
      </c>
      <c r="N15" s="20"/>
      <c r="P15" s="21" t="n">
        <v>7</v>
      </c>
      <c r="Q15" s="22" t="s">
        <v>34</v>
      </c>
      <c r="R15" s="22" t="n">
        <v>1</v>
      </c>
      <c r="S15" s="23" t="n">
        <v>5000</v>
      </c>
      <c r="T15" s="23" t="n">
        <f aca="false">S15*R15</f>
        <v>5000</v>
      </c>
      <c r="U15" s="22" t="s">
        <v>31</v>
      </c>
      <c r="X15" s="22" t="n">
        <v>7</v>
      </c>
      <c r="Y15" s="17" t="n">
        <f aca="false">K15</f>
        <v>560</v>
      </c>
      <c r="Z15" s="19" t="n">
        <f aca="false">Y15*$F$8</f>
        <v>112000</v>
      </c>
      <c r="AA15" s="23" t="n">
        <f aca="false">$T$18</f>
        <v>117400</v>
      </c>
      <c r="AB15" s="23" t="n">
        <v>0</v>
      </c>
      <c r="AC15" s="19" t="n">
        <f aca="false">Z15-AA15-AB15</f>
        <v>-5400</v>
      </c>
      <c r="AD15" s="19" t="n">
        <f aca="false">AD14+AC15</f>
        <v>-319800</v>
      </c>
    </row>
    <row r="16" customFormat="false" ht="13.8" hidden="false" customHeight="false" outlineLevel="0" collapsed="false">
      <c r="I16" s="15" t="n">
        <v>8</v>
      </c>
      <c r="J16" s="16" t="n">
        <v>3100</v>
      </c>
      <c r="K16" s="17" t="n">
        <f aca="false">J16/$E$9</f>
        <v>620</v>
      </c>
      <c r="L16" s="18" t="n">
        <f aca="false">K16*$E$8</f>
        <v>31000</v>
      </c>
      <c r="M16" s="19" t="n">
        <f aca="false">K16*$F$8</f>
        <v>124000</v>
      </c>
      <c r="N16" s="20"/>
      <c r="P16" s="21" t="n">
        <v>8</v>
      </c>
      <c r="Q16" s="22" t="s">
        <v>35</v>
      </c>
      <c r="R16" s="22" t="n">
        <v>1</v>
      </c>
      <c r="S16" s="23" t="n">
        <v>30000</v>
      </c>
      <c r="T16" s="23" t="n">
        <f aca="false">S16*R16</f>
        <v>30000</v>
      </c>
      <c r="U16" s="22"/>
      <c r="X16" s="22" t="n">
        <v>8</v>
      </c>
      <c r="Y16" s="17" t="n">
        <f aca="false">K16</f>
        <v>620</v>
      </c>
      <c r="Z16" s="19" t="n">
        <f aca="false">Y16*$F$8</f>
        <v>124000</v>
      </c>
      <c r="AA16" s="23" t="n">
        <f aca="false">$T$18</f>
        <v>117400</v>
      </c>
      <c r="AB16" s="23" t="n">
        <v>0</v>
      </c>
      <c r="AC16" s="19" t="n">
        <f aca="false">Z16-AA16-AB16</f>
        <v>6600</v>
      </c>
      <c r="AD16" s="19" t="n">
        <f aca="false">AD15+AC16</f>
        <v>-313200</v>
      </c>
    </row>
    <row r="17" customFormat="false" ht="13.8" hidden="false" customHeight="false" outlineLevel="0" collapsed="false">
      <c r="I17" s="15" t="n">
        <v>9</v>
      </c>
      <c r="J17" s="16" t="n">
        <v>3400</v>
      </c>
      <c r="K17" s="17" t="n">
        <f aca="false">J17/$E$9</f>
        <v>680</v>
      </c>
      <c r="L17" s="18" t="n">
        <f aca="false">K17*$E$8</f>
        <v>34000</v>
      </c>
      <c r="M17" s="19" t="n">
        <f aca="false">K17*$F$8</f>
        <v>136000</v>
      </c>
      <c r="N17" s="20"/>
      <c r="P17" s="21" t="n">
        <v>9</v>
      </c>
      <c r="Q17" s="22" t="s">
        <v>36</v>
      </c>
      <c r="R17" s="22" t="n">
        <v>1</v>
      </c>
      <c r="S17" s="23" t="n">
        <v>2000</v>
      </c>
      <c r="T17" s="23" t="n">
        <f aca="false">S17*R17</f>
        <v>2000</v>
      </c>
      <c r="U17" s="22" t="s">
        <v>37</v>
      </c>
      <c r="X17" s="22" t="n">
        <v>9</v>
      </c>
      <c r="Y17" s="17" t="n">
        <f aca="false">K17</f>
        <v>680</v>
      </c>
      <c r="Z17" s="19" t="n">
        <f aca="false">Y17*$F$8</f>
        <v>136000</v>
      </c>
      <c r="AA17" s="23" t="n">
        <f aca="false">$T$18</f>
        <v>117400</v>
      </c>
      <c r="AB17" s="23" t="n">
        <v>0</v>
      </c>
      <c r="AC17" s="19" t="n">
        <f aca="false">Z17-AA17-AB17</f>
        <v>18600</v>
      </c>
      <c r="AD17" s="19" t="n">
        <f aca="false">AD16+AC17</f>
        <v>-294600</v>
      </c>
    </row>
    <row r="18" customFormat="false" ht="13.8" hidden="false" customHeight="false" outlineLevel="0" collapsed="false">
      <c r="I18" s="15" t="n">
        <v>10</v>
      </c>
      <c r="J18" s="16" t="n">
        <v>3700</v>
      </c>
      <c r="K18" s="17" t="n">
        <f aca="false">J18/$E$9</f>
        <v>740</v>
      </c>
      <c r="L18" s="18" t="n">
        <f aca="false">K18*$E$8</f>
        <v>37000</v>
      </c>
      <c r="M18" s="19" t="n">
        <f aca="false">K18*$F$8</f>
        <v>148000</v>
      </c>
      <c r="N18" s="20"/>
      <c r="P18" s="24"/>
      <c r="R18" s="25" t="s">
        <v>38</v>
      </c>
      <c r="S18" s="26" t="n">
        <f aca="false">SUM(S9:S17)</f>
        <v>75100</v>
      </c>
      <c r="T18" s="27" t="n">
        <f aca="false">SUM(T9:T17)</f>
        <v>117400</v>
      </c>
      <c r="X18" s="22" t="n">
        <v>10</v>
      </c>
      <c r="Y18" s="17" t="n">
        <f aca="false">K18</f>
        <v>740</v>
      </c>
      <c r="Z18" s="19" t="n">
        <f aca="false">Y18*$F$8</f>
        <v>148000</v>
      </c>
      <c r="AA18" s="23" t="n">
        <f aca="false">$T$18</f>
        <v>117400</v>
      </c>
      <c r="AB18" s="23" t="n">
        <v>0</v>
      </c>
      <c r="AC18" s="19" t="n">
        <f aca="false">Z18-AA18-AB18</f>
        <v>30600</v>
      </c>
      <c r="AD18" s="19" t="n">
        <f aca="false">AD17+AC18</f>
        <v>-264000</v>
      </c>
    </row>
    <row r="19" customFormat="false" ht="13.8" hidden="false" customHeight="false" outlineLevel="0" collapsed="false">
      <c r="I19" s="15" t="n">
        <v>11</v>
      </c>
      <c r="J19" s="16" t="n">
        <v>4000</v>
      </c>
      <c r="K19" s="17" t="n">
        <f aca="false">J19/$E$9</f>
        <v>800</v>
      </c>
      <c r="L19" s="18" t="n">
        <f aca="false">K19*$E$8</f>
        <v>40000</v>
      </c>
      <c r="M19" s="19" t="n">
        <f aca="false">K19*$F$8</f>
        <v>160000</v>
      </c>
      <c r="N19" s="20"/>
      <c r="P19" s="24"/>
      <c r="X19" s="22" t="n">
        <v>11</v>
      </c>
      <c r="Y19" s="17" t="n">
        <f aca="false">K19</f>
        <v>800</v>
      </c>
      <c r="Z19" s="19" t="n">
        <f aca="false">Y19*$F$8</f>
        <v>160000</v>
      </c>
      <c r="AA19" s="23" t="n">
        <f aca="false">$T$18</f>
        <v>117400</v>
      </c>
      <c r="AB19" s="23" t="n">
        <v>0</v>
      </c>
      <c r="AC19" s="19" t="n">
        <f aca="false">Z19-AA19-AB19</f>
        <v>42600</v>
      </c>
      <c r="AD19" s="19" t="n">
        <f aca="false">AD18+AC19</f>
        <v>-221400</v>
      </c>
    </row>
    <row r="20" customFormat="false" ht="13.8" hidden="false" customHeight="false" outlineLevel="0" collapsed="false">
      <c r="I20" s="15" t="n">
        <v>12</v>
      </c>
      <c r="J20" s="16" t="n">
        <v>4300</v>
      </c>
      <c r="K20" s="17" t="n">
        <f aca="false">J20/$E$9</f>
        <v>860</v>
      </c>
      <c r="L20" s="18" t="n">
        <f aca="false">K20*$E$8</f>
        <v>43000</v>
      </c>
      <c r="M20" s="19" t="n">
        <f aca="false">K20*$F$8</f>
        <v>172000</v>
      </c>
      <c r="N20" s="20" t="n">
        <f aca="false">SUM(M9:M20)</f>
        <v>1272000</v>
      </c>
      <c r="P20" s="24"/>
      <c r="X20" s="22" t="n">
        <v>12</v>
      </c>
      <c r="Y20" s="17" t="n">
        <f aca="false">K20</f>
        <v>860</v>
      </c>
      <c r="Z20" s="19" t="n">
        <f aca="false">Y20*$F$8</f>
        <v>172000</v>
      </c>
      <c r="AA20" s="23" t="n">
        <f aca="false">$T$18</f>
        <v>117400</v>
      </c>
      <c r="AB20" s="23" t="n">
        <v>0</v>
      </c>
      <c r="AC20" s="19" t="n">
        <f aca="false">Z20-AA20-AB20</f>
        <v>54600</v>
      </c>
      <c r="AD20" s="19" t="n">
        <f aca="false">AD19+AC20</f>
        <v>-166800</v>
      </c>
    </row>
    <row r="21" customFormat="false" ht="21" hidden="false" customHeight="false" outlineLevel="0" collapsed="false">
      <c r="I21" s="15" t="n">
        <v>13</v>
      </c>
      <c r="J21" s="16" t="n">
        <v>4600</v>
      </c>
      <c r="K21" s="17" t="n">
        <f aca="false">J21/$E$9</f>
        <v>920</v>
      </c>
      <c r="L21" s="18" t="n">
        <f aca="false">K21*$E$8</f>
        <v>46000</v>
      </c>
      <c r="M21" s="19" t="n">
        <f aca="false">K21*$F$8</f>
        <v>184000</v>
      </c>
      <c r="N21" s="20"/>
      <c r="P21" s="4" t="s">
        <v>39</v>
      </c>
      <c r="Q21" s="4"/>
      <c r="R21" s="4"/>
      <c r="S21" s="4"/>
      <c r="T21" s="4"/>
      <c r="U21" s="4"/>
      <c r="X21" s="22" t="n">
        <v>13</v>
      </c>
      <c r="Y21" s="17" t="n">
        <f aca="false">K21</f>
        <v>920</v>
      </c>
      <c r="Z21" s="19" t="n">
        <f aca="false">Y21*$F$8</f>
        <v>184000</v>
      </c>
      <c r="AA21" s="23" t="n">
        <f aca="false">$T$32</f>
        <v>166000</v>
      </c>
      <c r="AB21" s="23" t="n">
        <v>0</v>
      </c>
      <c r="AC21" s="19" t="n">
        <f aca="false">Z21-AA21-AB21</f>
        <v>18000</v>
      </c>
      <c r="AD21" s="19" t="n">
        <f aca="false">AD20+AC21</f>
        <v>-148800</v>
      </c>
    </row>
    <row r="22" customFormat="false" ht="45" hidden="false" customHeight="false" outlineLevel="0" collapsed="false">
      <c r="I22" s="15" t="n">
        <v>14</v>
      </c>
      <c r="J22" s="16" t="n">
        <v>4900</v>
      </c>
      <c r="K22" s="17" t="n">
        <f aca="false">J22/$E$9</f>
        <v>980</v>
      </c>
      <c r="L22" s="18" t="n">
        <f aca="false">K22*$E$8</f>
        <v>49000</v>
      </c>
      <c r="M22" s="19" t="n">
        <f aca="false">K22*$F$8</f>
        <v>196000</v>
      </c>
      <c r="P22" s="10" t="s">
        <v>11</v>
      </c>
      <c r="Q22" s="10" t="s">
        <v>12</v>
      </c>
      <c r="R22" s="10" t="s">
        <v>13</v>
      </c>
      <c r="S22" s="10" t="s">
        <v>14</v>
      </c>
      <c r="T22" s="10" t="s">
        <v>15</v>
      </c>
      <c r="U22" s="10" t="s">
        <v>16</v>
      </c>
      <c r="X22" s="22" t="n">
        <v>14</v>
      </c>
      <c r="Y22" s="17" t="n">
        <f aca="false">K22</f>
        <v>980</v>
      </c>
      <c r="Z22" s="19" t="n">
        <f aca="false">Y22*$F$8</f>
        <v>196000</v>
      </c>
      <c r="AA22" s="23" t="n">
        <f aca="false">$T$32</f>
        <v>166000</v>
      </c>
      <c r="AB22" s="23" t="n">
        <f aca="false">T66</f>
        <v>28800</v>
      </c>
      <c r="AC22" s="19" t="n">
        <f aca="false">Z22-AA22-AB22</f>
        <v>1200</v>
      </c>
      <c r="AD22" s="19" t="n">
        <f aca="false">AD21+AC22</f>
        <v>-147600</v>
      </c>
    </row>
    <row r="23" customFormat="false" ht="13.8" hidden="false" customHeight="false" outlineLevel="0" collapsed="false">
      <c r="I23" s="15" t="n">
        <v>15</v>
      </c>
      <c r="J23" s="16" t="n">
        <v>5200</v>
      </c>
      <c r="K23" s="17" t="n">
        <f aca="false">J23/$E$9</f>
        <v>1040</v>
      </c>
      <c r="L23" s="18" t="n">
        <f aca="false">K23*$E$8</f>
        <v>52000</v>
      </c>
      <c r="M23" s="19" t="n">
        <f aca="false">K23*$F$8</f>
        <v>208000</v>
      </c>
      <c r="P23" s="21" t="n">
        <v>1</v>
      </c>
      <c r="Q23" s="22" t="s">
        <v>25</v>
      </c>
      <c r="R23" s="22" t="n">
        <v>2</v>
      </c>
      <c r="S23" s="23" t="n">
        <v>5000</v>
      </c>
      <c r="T23" s="23" t="n">
        <f aca="false">S23*R23</f>
        <v>10000</v>
      </c>
      <c r="U23" s="22" t="s">
        <v>26</v>
      </c>
      <c r="X23" s="22" t="n">
        <v>15</v>
      </c>
      <c r="Y23" s="17" t="n">
        <f aca="false">K23</f>
        <v>1040</v>
      </c>
      <c r="Z23" s="19" t="n">
        <f aca="false">Y23*$F$8</f>
        <v>208000</v>
      </c>
      <c r="AA23" s="23" t="n">
        <f aca="false">$T$32</f>
        <v>166000</v>
      </c>
      <c r="AB23" s="23" t="n">
        <v>0</v>
      </c>
      <c r="AC23" s="19" t="n">
        <f aca="false">Z23-AA23-AB23</f>
        <v>42000</v>
      </c>
      <c r="AD23" s="19" t="n">
        <f aca="false">AD22+AC23</f>
        <v>-105600</v>
      </c>
    </row>
    <row r="24" customFormat="false" ht="13.8" hidden="false" customHeight="false" outlineLevel="0" collapsed="false">
      <c r="I24" s="15" t="n">
        <v>16</v>
      </c>
      <c r="J24" s="16" t="n">
        <v>5500</v>
      </c>
      <c r="K24" s="17" t="n">
        <f aca="false">J24/$E$9</f>
        <v>1100</v>
      </c>
      <c r="L24" s="18" t="n">
        <f aca="false">K24*$E$8</f>
        <v>55000</v>
      </c>
      <c r="M24" s="19" t="n">
        <f aca="false">K24*$F$8</f>
        <v>220000</v>
      </c>
      <c r="P24" s="21" t="n">
        <v>2</v>
      </c>
      <c r="Q24" s="22" t="s">
        <v>27</v>
      </c>
      <c r="R24" s="22" t="n">
        <v>1</v>
      </c>
      <c r="S24" s="23" t="n">
        <v>1500</v>
      </c>
      <c r="T24" s="23" t="n">
        <f aca="false">S24*R24</f>
        <v>1500</v>
      </c>
      <c r="U24" s="22"/>
      <c r="X24" s="22" t="n">
        <v>16</v>
      </c>
      <c r="Y24" s="17" t="n">
        <f aca="false">K24</f>
        <v>1100</v>
      </c>
      <c r="Z24" s="19" t="n">
        <f aca="false">Y24*$F$8</f>
        <v>220000</v>
      </c>
      <c r="AA24" s="23" t="n">
        <f aca="false">$T$32</f>
        <v>166000</v>
      </c>
      <c r="AB24" s="23" t="n">
        <v>0</v>
      </c>
      <c r="AC24" s="19" t="n">
        <f aca="false">Z24-AA24-AB24</f>
        <v>54000</v>
      </c>
      <c r="AD24" s="19" t="n">
        <f aca="false">AD23+AC24</f>
        <v>-51600</v>
      </c>
    </row>
    <row r="25" customFormat="false" ht="13.8" hidden="false" customHeight="false" outlineLevel="0" collapsed="false">
      <c r="I25" s="15" t="n">
        <v>17</v>
      </c>
      <c r="J25" s="16" t="n">
        <v>5800</v>
      </c>
      <c r="K25" s="17" t="n">
        <f aca="false">J25/$E$9</f>
        <v>1160</v>
      </c>
      <c r="L25" s="18" t="n">
        <f aca="false">K25*$E$8</f>
        <v>58000</v>
      </c>
      <c r="M25" s="19" t="n">
        <f aca="false">K25*$F$8</f>
        <v>232000</v>
      </c>
      <c r="P25" s="21" t="n">
        <v>3</v>
      </c>
      <c r="Q25" s="22" t="s">
        <v>28</v>
      </c>
      <c r="R25" s="22" t="n">
        <v>10</v>
      </c>
      <c r="S25" s="23" t="n">
        <v>600</v>
      </c>
      <c r="T25" s="23" t="n">
        <f aca="false">S25*R25</f>
        <v>6000</v>
      </c>
      <c r="U25" s="22" t="s">
        <v>29</v>
      </c>
      <c r="X25" s="22" t="n">
        <v>17</v>
      </c>
      <c r="Y25" s="17" t="n">
        <f aca="false">K25</f>
        <v>1160</v>
      </c>
      <c r="Z25" s="19" t="n">
        <f aca="false">Y25*$F$8</f>
        <v>232000</v>
      </c>
      <c r="AA25" s="23" t="n">
        <f aca="false">$T$32</f>
        <v>166000</v>
      </c>
      <c r="AB25" s="23" t="n">
        <v>0</v>
      </c>
      <c r="AC25" s="19" t="n">
        <f aca="false">Z25-AA25-AB25</f>
        <v>66000</v>
      </c>
      <c r="AD25" s="19" t="n">
        <f aca="false">AD24+AC25</f>
        <v>14400</v>
      </c>
    </row>
    <row r="26" customFormat="false" ht="13.8" hidden="false" customHeight="false" outlineLevel="0" collapsed="false">
      <c r="I26" s="15" t="n">
        <v>18</v>
      </c>
      <c r="J26" s="16" t="n">
        <v>6100</v>
      </c>
      <c r="K26" s="17" t="n">
        <f aca="false">J26/$E$9</f>
        <v>1220</v>
      </c>
      <c r="L26" s="18" t="n">
        <f aca="false">K26*$E$8</f>
        <v>61000</v>
      </c>
      <c r="M26" s="19" t="n">
        <f aca="false">K26*$F$8</f>
        <v>244000</v>
      </c>
      <c r="P26" s="21" t="n">
        <v>4</v>
      </c>
      <c r="Q26" s="22" t="s">
        <v>30</v>
      </c>
      <c r="R26" s="22" t="n">
        <v>3</v>
      </c>
      <c r="S26" s="23" t="n">
        <v>13000</v>
      </c>
      <c r="T26" s="23" t="n">
        <f aca="false">S26*R26</f>
        <v>39000</v>
      </c>
      <c r="U26" s="22" t="s">
        <v>31</v>
      </c>
      <c r="X26" s="22" t="n">
        <v>18</v>
      </c>
      <c r="Y26" s="17" t="n">
        <f aca="false">K26</f>
        <v>1220</v>
      </c>
      <c r="Z26" s="19" t="n">
        <f aca="false">Y26*$F$8</f>
        <v>244000</v>
      </c>
      <c r="AA26" s="23" t="n">
        <f aca="false">$T$32</f>
        <v>166000</v>
      </c>
      <c r="AB26" s="23" t="n">
        <v>0</v>
      </c>
      <c r="AC26" s="19" t="n">
        <f aca="false">Z26-AA26-AB26</f>
        <v>78000</v>
      </c>
      <c r="AD26" s="19" t="n">
        <f aca="false">AD25+AC26</f>
        <v>92400</v>
      </c>
    </row>
    <row r="27" customFormat="false" ht="13.8" hidden="false" customHeight="false" outlineLevel="0" collapsed="false">
      <c r="I27" s="15" t="n">
        <v>19</v>
      </c>
      <c r="J27" s="16" t="n">
        <v>6400</v>
      </c>
      <c r="K27" s="17" t="n">
        <f aca="false">J27/$E$9</f>
        <v>1280</v>
      </c>
      <c r="L27" s="18" t="n">
        <f aca="false">K27*$E$8</f>
        <v>64000</v>
      </c>
      <c r="M27" s="19" t="n">
        <f aca="false">K27*$F$8</f>
        <v>256000</v>
      </c>
      <c r="P27" s="21" t="n">
        <v>5</v>
      </c>
      <c r="Q27" s="22" t="s">
        <v>32</v>
      </c>
      <c r="R27" s="22" t="n">
        <v>2</v>
      </c>
      <c r="S27" s="23" t="n">
        <v>7500</v>
      </c>
      <c r="T27" s="23" t="n">
        <f aca="false">S27*R27</f>
        <v>15000</v>
      </c>
      <c r="U27" s="22" t="s">
        <v>31</v>
      </c>
      <c r="X27" s="22" t="n">
        <v>19</v>
      </c>
      <c r="Y27" s="17" t="n">
        <f aca="false">K27</f>
        <v>1280</v>
      </c>
      <c r="Z27" s="19" t="n">
        <f aca="false">Y27*$F$8</f>
        <v>256000</v>
      </c>
      <c r="AA27" s="23" t="n">
        <f aca="false">$T$32</f>
        <v>166000</v>
      </c>
      <c r="AB27" s="23" t="n">
        <v>0</v>
      </c>
      <c r="AC27" s="19" t="n">
        <f aca="false">Z27-AA27-AB27</f>
        <v>90000</v>
      </c>
      <c r="AD27" s="19" t="n">
        <f aca="false">AD26+AC27</f>
        <v>182400</v>
      </c>
    </row>
    <row r="28" customFormat="false" ht="13.8" hidden="false" customHeight="false" outlineLevel="0" collapsed="false">
      <c r="I28" s="15" t="n">
        <v>20</v>
      </c>
      <c r="J28" s="16" t="n">
        <v>6700</v>
      </c>
      <c r="K28" s="17" t="n">
        <f aca="false">J28/$E$9</f>
        <v>1340</v>
      </c>
      <c r="L28" s="18" t="n">
        <f aca="false">K28*$E$8</f>
        <v>67000</v>
      </c>
      <c r="M28" s="19" t="n">
        <f aca="false">K28*$F$8</f>
        <v>268000</v>
      </c>
      <c r="P28" s="21" t="n">
        <v>6</v>
      </c>
      <c r="Q28" s="22" t="s">
        <v>40</v>
      </c>
      <c r="R28" s="22" t="n">
        <v>1</v>
      </c>
      <c r="S28" s="23" t="n">
        <v>12500</v>
      </c>
      <c r="T28" s="23" t="n">
        <f aca="false">S28*R28</f>
        <v>12500</v>
      </c>
      <c r="U28" s="22" t="s">
        <v>31</v>
      </c>
      <c r="X28" s="22" t="n">
        <v>20</v>
      </c>
      <c r="Y28" s="17" t="n">
        <f aca="false">K28</f>
        <v>1340</v>
      </c>
      <c r="Z28" s="19" t="n">
        <f aca="false">Y28*$F$8</f>
        <v>268000</v>
      </c>
      <c r="AA28" s="23" t="n">
        <f aca="false">$T$32</f>
        <v>166000</v>
      </c>
      <c r="AB28" s="23" t="n">
        <v>0</v>
      </c>
      <c r="AC28" s="19" t="n">
        <f aca="false">Z28-AA28-AB28</f>
        <v>102000</v>
      </c>
      <c r="AD28" s="19" t="n">
        <f aca="false">AD27+AC28</f>
        <v>284400</v>
      </c>
    </row>
    <row r="29" customFormat="false" ht="13.8" hidden="false" customHeight="false" outlineLevel="0" collapsed="false">
      <c r="I29" s="15" t="n">
        <v>21</v>
      </c>
      <c r="J29" s="16" t="n">
        <v>7000</v>
      </c>
      <c r="K29" s="17" t="n">
        <f aca="false">J29/$E$9</f>
        <v>1400</v>
      </c>
      <c r="L29" s="18" t="n">
        <f aca="false">K29*$E$8</f>
        <v>70000</v>
      </c>
      <c r="M29" s="19" t="n">
        <f aca="false">K29*$F$8</f>
        <v>280000</v>
      </c>
      <c r="P29" s="21" t="n">
        <v>7</v>
      </c>
      <c r="Q29" s="22" t="s">
        <v>34</v>
      </c>
      <c r="R29" s="22" t="n">
        <v>1</v>
      </c>
      <c r="S29" s="23" t="n">
        <v>30000</v>
      </c>
      <c r="T29" s="23" t="n">
        <f aca="false">S29*R29</f>
        <v>30000</v>
      </c>
      <c r="U29" s="22" t="s">
        <v>31</v>
      </c>
      <c r="X29" s="22" t="n">
        <v>21</v>
      </c>
      <c r="Y29" s="17" t="n">
        <f aca="false">K29</f>
        <v>1400</v>
      </c>
      <c r="Z29" s="19" t="n">
        <f aca="false">Y29*$F$8</f>
        <v>280000</v>
      </c>
      <c r="AA29" s="23" t="n">
        <f aca="false">$T$32</f>
        <v>166000</v>
      </c>
      <c r="AB29" s="23" t="n">
        <v>0</v>
      </c>
      <c r="AC29" s="19" t="n">
        <f aca="false">Z29-AA29-AB29</f>
        <v>114000</v>
      </c>
      <c r="AD29" s="19" t="n">
        <f aca="false">AD28+AC29</f>
        <v>398400</v>
      </c>
    </row>
    <row r="30" customFormat="false" ht="13.8" hidden="false" customHeight="false" outlineLevel="0" collapsed="false">
      <c r="I30" s="15" t="n">
        <v>22</v>
      </c>
      <c r="J30" s="16" t="n">
        <v>7300</v>
      </c>
      <c r="K30" s="17" t="n">
        <f aca="false">J30/$E$9</f>
        <v>1460</v>
      </c>
      <c r="L30" s="18" t="n">
        <f aca="false">K30*$E$8</f>
        <v>73000</v>
      </c>
      <c r="M30" s="19" t="n">
        <f aca="false">K30*$F$8</f>
        <v>292000</v>
      </c>
      <c r="P30" s="21" t="n">
        <v>8</v>
      </c>
      <c r="Q30" s="22" t="s">
        <v>35</v>
      </c>
      <c r="R30" s="22" t="n">
        <v>1</v>
      </c>
      <c r="S30" s="23" t="n">
        <v>50000</v>
      </c>
      <c r="T30" s="23" t="n">
        <f aca="false">S30*R30</f>
        <v>50000</v>
      </c>
      <c r="U30" s="22"/>
      <c r="X30" s="22" t="n">
        <v>22</v>
      </c>
      <c r="Y30" s="17" t="n">
        <f aca="false">K30</f>
        <v>1460</v>
      </c>
      <c r="Z30" s="19" t="n">
        <f aca="false">Y30*$F$8</f>
        <v>292000</v>
      </c>
      <c r="AA30" s="23" t="n">
        <f aca="false">$T$32</f>
        <v>166000</v>
      </c>
      <c r="AB30" s="23" t="n">
        <v>0</v>
      </c>
      <c r="AC30" s="19" t="n">
        <f aca="false">Z30-AA30-AB30</f>
        <v>126000</v>
      </c>
      <c r="AD30" s="19" t="n">
        <f aca="false">AD29+AC30</f>
        <v>524400</v>
      </c>
    </row>
    <row r="31" customFormat="false" ht="13.8" hidden="false" customHeight="false" outlineLevel="0" collapsed="false">
      <c r="I31" s="15" t="n">
        <v>23</v>
      </c>
      <c r="J31" s="16" t="n">
        <v>7600</v>
      </c>
      <c r="K31" s="17" t="n">
        <f aca="false">J31/$E$9</f>
        <v>1520</v>
      </c>
      <c r="L31" s="18" t="n">
        <f aca="false">K31*$E$8</f>
        <v>76000</v>
      </c>
      <c r="M31" s="19" t="n">
        <f aca="false">K31*$F$8</f>
        <v>304000</v>
      </c>
      <c r="P31" s="21" t="n">
        <v>9</v>
      </c>
      <c r="Q31" s="22" t="s">
        <v>36</v>
      </c>
      <c r="R31" s="22" t="n">
        <v>1</v>
      </c>
      <c r="S31" s="23" t="n">
        <v>2000</v>
      </c>
      <c r="T31" s="23" t="n">
        <f aca="false">S31*R31</f>
        <v>2000</v>
      </c>
      <c r="U31" s="22" t="s">
        <v>37</v>
      </c>
      <c r="X31" s="22" t="n">
        <v>23</v>
      </c>
      <c r="Y31" s="17" t="n">
        <f aca="false">K31</f>
        <v>1520</v>
      </c>
      <c r="Z31" s="19" t="n">
        <f aca="false">Y31*$F$8</f>
        <v>304000</v>
      </c>
      <c r="AA31" s="23" t="n">
        <f aca="false">$T$32</f>
        <v>166000</v>
      </c>
      <c r="AB31" s="23" t="n">
        <v>0</v>
      </c>
      <c r="AC31" s="19" t="n">
        <f aca="false">Z31-AA31-AB31</f>
        <v>138000</v>
      </c>
      <c r="AD31" s="19" t="n">
        <f aca="false">AD30+AC31</f>
        <v>662400</v>
      </c>
    </row>
    <row r="32" customFormat="false" ht="13.8" hidden="false" customHeight="false" outlineLevel="0" collapsed="false">
      <c r="I32" s="15" t="n">
        <v>24</v>
      </c>
      <c r="J32" s="16" t="n">
        <v>7900</v>
      </c>
      <c r="K32" s="17" t="n">
        <f aca="false">J32/$E$9</f>
        <v>1580</v>
      </c>
      <c r="L32" s="18" t="n">
        <f aca="false">K32*$E$8</f>
        <v>79000</v>
      </c>
      <c r="M32" s="19" t="n">
        <f aca="false">K32*$F$8</f>
        <v>316000</v>
      </c>
      <c r="P32" s="24"/>
      <c r="R32" s="25" t="s">
        <v>38</v>
      </c>
      <c r="S32" s="26" t="n">
        <f aca="false">SUM(S23:S31)</f>
        <v>122100</v>
      </c>
      <c r="T32" s="27" t="n">
        <f aca="false">SUM(T23:T31)</f>
        <v>166000</v>
      </c>
      <c r="X32" s="22" t="n">
        <v>24</v>
      </c>
      <c r="Y32" s="17" t="n">
        <f aca="false">K32</f>
        <v>1580</v>
      </c>
      <c r="Z32" s="19" t="n">
        <f aca="false">Y32*$F$8</f>
        <v>316000</v>
      </c>
      <c r="AA32" s="23" t="n">
        <f aca="false">$T$32</f>
        <v>166000</v>
      </c>
      <c r="AB32" s="23" t="n">
        <v>0</v>
      </c>
      <c r="AC32" s="19" t="n">
        <f aca="false">Z32-AA32-AB32</f>
        <v>150000</v>
      </c>
      <c r="AD32" s="19" t="n">
        <f aca="false">AD31+AC32</f>
        <v>812400</v>
      </c>
    </row>
    <row r="33" customFormat="false" ht="13.8" hidden="false" customHeight="false" outlineLevel="0" collapsed="false">
      <c r="I33" s="15" t="n">
        <v>25</v>
      </c>
      <c r="J33" s="16" t="n">
        <v>8200</v>
      </c>
      <c r="K33" s="17" t="n">
        <f aca="false">J33/$E$9</f>
        <v>1640</v>
      </c>
      <c r="L33" s="18" t="n">
        <f aca="false">K33*$E$8</f>
        <v>82000</v>
      </c>
      <c r="M33" s="19" t="n">
        <f aca="false">K33*$F$8</f>
        <v>328000</v>
      </c>
      <c r="X33" s="22" t="n">
        <v>25</v>
      </c>
      <c r="Y33" s="17" t="n">
        <f aca="false">K33</f>
        <v>1640</v>
      </c>
      <c r="Z33" s="19" t="n">
        <f aca="false">Y33*$F$8</f>
        <v>328000</v>
      </c>
      <c r="AA33" s="23" t="n">
        <f aca="false">$T$46</f>
        <v>295900</v>
      </c>
      <c r="AB33" s="23" t="n">
        <f aca="false">T75</f>
        <v>28800</v>
      </c>
      <c r="AC33" s="19" t="n">
        <f aca="false">Z33-AA33-AB33</f>
        <v>3300</v>
      </c>
      <c r="AD33" s="19" t="n">
        <f aca="false">AD32+AC33</f>
        <v>815700</v>
      </c>
    </row>
    <row r="34" customFormat="false" ht="13.8" hidden="false" customHeight="false" outlineLevel="0" collapsed="false">
      <c r="I34" s="15" t="n">
        <v>26</v>
      </c>
      <c r="J34" s="16" t="n">
        <v>8500</v>
      </c>
      <c r="K34" s="17" t="n">
        <f aca="false">J34/$E$9</f>
        <v>1700</v>
      </c>
      <c r="L34" s="18" t="n">
        <f aca="false">K34*$E$8</f>
        <v>85000</v>
      </c>
      <c r="M34" s="19" t="n">
        <f aca="false">K34*$F$8</f>
        <v>340000</v>
      </c>
      <c r="X34" s="22" t="n">
        <v>26</v>
      </c>
      <c r="Y34" s="17" t="n">
        <f aca="false">K34</f>
        <v>1700</v>
      </c>
      <c r="Z34" s="19" t="n">
        <f aca="false">Y34*$F$8</f>
        <v>340000</v>
      </c>
      <c r="AA34" s="23" t="n">
        <f aca="false">$T$46</f>
        <v>295900</v>
      </c>
      <c r="AB34" s="23" t="n">
        <v>0</v>
      </c>
      <c r="AC34" s="19" t="n">
        <f aca="false">Z34-AA34-AB34</f>
        <v>44100</v>
      </c>
      <c r="AD34" s="19" t="n">
        <f aca="false">AD33+AC34</f>
        <v>859800</v>
      </c>
    </row>
    <row r="35" customFormat="false" ht="21" hidden="false" customHeight="false" outlineLevel="0" collapsed="false">
      <c r="I35" s="15" t="n">
        <v>27</v>
      </c>
      <c r="J35" s="16" t="n">
        <v>8800</v>
      </c>
      <c r="K35" s="17" t="n">
        <f aca="false">J35/$E$9</f>
        <v>1760</v>
      </c>
      <c r="L35" s="18" t="n">
        <f aca="false">K35*$E$8</f>
        <v>88000</v>
      </c>
      <c r="M35" s="19" t="n">
        <f aca="false">K35*$F$8</f>
        <v>352000</v>
      </c>
      <c r="P35" s="4" t="s">
        <v>41</v>
      </c>
      <c r="Q35" s="4"/>
      <c r="R35" s="4"/>
      <c r="S35" s="4"/>
      <c r="T35" s="4"/>
      <c r="U35" s="4"/>
      <c r="X35" s="22" t="n">
        <v>27</v>
      </c>
      <c r="Y35" s="17" t="n">
        <f aca="false">K35</f>
        <v>1760</v>
      </c>
      <c r="Z35" s="19" t="n">
        <f aca="false">Y35*$F$8</f>
        <v>352000</v>
      </c>
      <c r="AA35" s="23" t="n">
        <f aca="false">$T$46</f>
        <v>295900</v>
      </c>
      <c r="AB35" s="23" t="n">
        <v>0</v>
      </c>
      <c r="AC35" s="19" t="n">
        <f aca="false">Z35-AA35-AB35</f>
        <v>56100</v>
      </c>
      <c r="AD35" s="19" t="n">
        <f aca="false">AD34+AC35</f>
        <v>915900</v>
      </c>
    </row>
    <row r="36" customFormat="false" ht="45" hidden="false" customHeight="false" outlineLevel="0" collapsed="false">
      <c r="I36" s="15" t="n">
        <v>28</v>
      </c>
      <c r="J36" s="16" t="n">
        <v>9100</v>
      </c>
      <c r="K36" s="17" t="n">
        <f aca="false">J36/$E$9</f>
        <v>1820</v>
      </c>
      <c r="L36" s="18" t="n">
        <f aca="false">K36*$E$8</f>
        <v>91000</v>
      </c>
      <c r="M36" s="19" t="n">
        <f aca="false">K36*$F$8</f>
        <v>364000</v>
      </c>
      <c r="P36" s="10" t="s">
        <v>11</v>
      </c>
      <c r="Q36" s="10" t="s">
        <v>12</v>
      </c>
      <c r="R36" s="10" t="s">
        <v>13</v>
      </c>
      <c r="S36" s="10" t="s">
        <v>14</v>
      </c>
      <c r="T36" s="10" t="s">
        <v>15</v>
      </c>
      <c r="U36" s="10" t="s">
        <v>16</v>
      </c>
      <c r="X36" s="22" t="n">
        <v>28</v>
      </c>
      <c r="Y36" s="17" t="n">
        <f aca="false">K36</f>
        <v>1820</v>
      </c>
      <c r="Z36" s="19" t="n">
        <f aca="false">Y36*$F$8</f>
        <v>364000</v>
      </c>
      <c r="AA36" s="23" t="n">
        <f aca="false">$T$46</f>
        <v>295900</v>
      </c>
      <c r="AB36" s="23" t="n">
        <v>0</v>
      </c>
      <c r="AC36" s="19" t="n">
        <f aca="false">Z36-AA36-AB36</f>
        <v>68100</v>
      </c>
      <c r="AD36" s="19" t="n">
        <f aca="false">AD35+AC36</f>
        <v>984000</v>
      </c>
    </row>
    <row r="37" customFormat="false" ht="13.8" hidden="false" customHeight="false" outlineLevel="0" collapsed="false">
      <c r="I37" s="15" t="n">
        <v>29</v>
      </c>
      <c r="J37" s="16" t="n">
        <v>9400</v>
      </c>
      <c r="K37" s="17" t="n">
        <f aca="false">J37/$E$9</f>
        <v>1880</v>
      </c>
      <c r="L37" s="18" t="n">
        <f aca="false">K37*$E$8</f>
        <v>94000</v>
      </c>
      <c r="M37" s="19" t="n">
        <f aca="false">K37*$F$8</f>
        <v>376000</v>
      </c>
      <c r="P37" s="21" t="n">
        <v>1</v>
      </c>
      <c r="Q37" s="22" t="s">
        <v>25</v>
      </c>
      <c r="R37" s="22" t="n">
        <v>2</v>
      </c>
      <c r="S37" s="23" t="n">
        <v>5000</v>
      </c>
      <c r="T37" s="23" t="n">
        <f aca="false">S37*R37</f>
        <v>10000</v>
      </c>
      <c r="U37" s="22" t="s">
        <v>26</v>
      </c>
      <c r="X37" s="22" t="n">
        <v>29</v>
      </c>
      <c r="Y37" s="17" t="n">
        <f aca="false">K37</f>
        <v>1880</v>
      </c>
      <c r="Z37" s="19" t="n">
        <f aca="false">Y37*$F$8</f>
        <v>376000</v>
      </c>
      <c r="AA37" s="23" t="n">
        <f aca="false">$T$46</f>
        <v>295900</v>
      </c>
      <c r="AB37" s="23" t="n">
        <v>0</v>
      </c>
      <c r="AC37" s="19" t="n">
        <f aca="false">Z37-AA37-AB37</f>
        <v>80100</v>
      </c>
      <c r="AD37" s="19" t="n">
        <f aca="false">AD36+AC37</f>
        <v>1064100</v>
      </c>
    </row>
    <row r="38" customFormat="false" ht="13.8" hidden="false" customHeight="false" outlineLevel="0" collapsed="false">
      <c r="I38" s="15" t="n">
        <v>30</v>
      </c>
      <c r="J38" s="16" t="n">
        <v>9700</v>
      </c>
      <c r="K38" s="17" t="n">
        <f aca="false">J38/$E$9</f>
        <v>1940</v>
      </c>
      <c r="L38" s="18" t="n">
        <f aca="false">K38*$E$8</f>
        <v>97000</v>
      </c>
      <c r="M38" s="19" t="n">
        <f aca="false">K38*$F$8</f>
        <v>388000</v>
      </c>
      <c r="P38" s="21" t="n">
        <v>2</v>
      </c>
      <c r="Q38" s="22" t="s">
        <v>27</v>
      </c>
      <c r="R38" s="22" t="n">
        <v>1</v>
      </c>
      <c r="S38" s="23" t="n">
        <v>1500</v>
      </c>
      <c r="T38" s="23" t="n">
        <f aca="false">S38*R38</f>
        <v>1500</v>
      </c>
      <c r="U38" s="22"/>
      <c r="X38" s="22" t="n">
        <v>30</v>
      </c>
      <c r="Y38" s="17" t="n">
        <f aca="false">K38</f>
        <v>1940</v>
      </c>
      <c r="Z38" s="19" t="n">
        <f aca="false">Y38*$F$8</f>
        <v>388000</v>
      </c>
      <c r="AA38" s="23" t="n">
        <f aca="false">$T$46</f>
        <v>295900</v>
      </c>
      <c r="AB38" s="23" t="n">
        <v>0</v>
      </c>
      <c r="AC38" s="19" t="n">
        <f aca="false">Z38-AA38-AB38</f>
        <v>92100</v>
      </c>
      <c r="AD38" s="19" t="n">
        <f aca="false">AD37+AC38</f>
        <v>1156200</v>
      </c>
    </row>
    <row r="39" customFormat="false" ht="13.8" hidden="false" customHeight="false" outlineLevel="0" collapsed="false">
      <c r="I39" s="15" t="n">
        <v>31</v>
      </c>
      <c r="J39" s="16" t="n">
        <v>10000</v>
      </c>
      <c r="K39" s="17" t="n">
        <f aca="false">J39/$E$9</f>
        <v>2000</v>
      </c>
      <c r="L39" s="18" t="n">
        <f aca="false">K39*$E$8</f>
        <v>100000</v>
      </c>
      <c r="M39" s="19" t="n">
        <f aca="false">K39*$F$8</f>
        <v>400000</v>
      </c>
      <c r="P39" s="21" t="n">
        <v>3</v>
      </c>
      <c r="Q39" s="22" t="s">
        <v>28</v>
      </c>
      <c r="R39" s="22" t="n">
        <v>24</v>
      </c>
      <c r="S39" s="23" t="n">
        <v>600</v>
      </c>
      <c r="T39" s="23" t="n">
        <f aca="false">S39*R39</f>
        <v>14400</v>
      </c>
      <c r="U39" s="22" t="s">
        <v>29</v>
      </c>
      <c r="X39" s="22" t="n">
        <v>31</v>
      </c>
      <c r="Y39" s="17" t="n">
        <f aca="false">K39</f>
        <v>2000</v>
      </c>
      <c r="Z39" s="19" t="n">
        <f aca="false">Y39*$F$8</f>
        <v>400000</v>
      </c>
      <c r="AA39" s="23" t="n">
        <f aca="false">$T$46</f>
        <v>295900</v>
      </c>
      <c r="AB39" s="23" t="n">
        <v>0</v>
      </c>
      <c r="AC39" s="19" t="n">
        <f aca="false">Z39-AA39-AB39</f>
        <v>104100</v>
      </c>
      <c r="AD39" s="19" t="n">
        <f aca="false">AD38+AC39</f>
        <v>1260300</v>
      </c>
    </row>
    <row r="40" customFormat="false" ht="13.8" hidden="false" customHeight="false" outlineLevel="0" collapsed="false">
      <c r="I40" s="15" t="n">
        <v>32</v>
      </c>
      <c r="J40" s="16" t="n">
        <v>10300</v>
      </c>
      <c r="K40" s="17" t="n">
        <f aca="false">J40/$E$9</f>
        <v>2060</v>
      </c>
      <c r="L40" s="18" t="n">
        <f aca="false">K40*$E$8</f>
        <v>103000</v>
      </c>
      <c r="M40" s="19" t="n">
        <f aca="false">K40*$F$8</f>
        <v>412000</v>
      </c>
      <c r="P40" s="21" t="n">
        <v>4</v>
      </c>
      <c r="Q40" s="22" t="s">
        <v>30</v>
      </c>
      <c r="R40" s="22" t="n">
        <v>5</v>
      </c>
      <c r="S40" s="23" t="n">
        <v>13000</v>
      </c>
      <c r="T40" s="23" t="n">
        <f aca="false">S40*R40</f>
        <v>65000</v>
      </c>
      <c r="U40" s="22" t="s">
        <v>31</v>
      </c>
      <c r="X40" s="22" t="n">
        <v>32</v>
      </c>
      <c r="Y40" s="17" t="n">
        <f aca="false">K40</f>
        <v>2060</v>
      </c>
      <c r="Z40" s="19" t="n">
        <f aca="false">Y40*$F$8</f>
        <v>412000</v>
      </c>
      <c r="AA40" s="23" t="n">
        <f aca="false">$T$46</f>
        <v>295900</v>
      </c>
      <c r="AB40" s="23" t="n">
        <v>0</v>
      </c>
      <c r="AC40" s="19" t="n">
        <f aca="false">Z40-AA40-AB40</f>
        <v>116100</v>
      </c>
      <c r="AD40" s="19" t="n">
        <f aca="false">AD39+AC40</f>
        <v>1376400</v>
      </c>
    </row>
    <row r="41" customFormat="false" ht="13.8" hidden="false" customHeight="false" outlineLevel="0" collapsed="false">
      <c r="I41" s="15" t="n">
        <v>33</v>
      </c>
      <c r="J41" s="16" t="n">
        <v>10600</v>
      </c>
      <c r="K41" s="17" t="n">
        <f aca="false">J41/$E$9</f>
        <v>2120</v>
      </c>
      <c r="L41" s="18" t="n">
        <f aca="false">K41*$E$8</f>
        <v>106000</v>
      </c>
      <c r="M41" s="19" t="n">
        <f aca="false">K41*$F$8</f>
        <v>424000</v>
      </c>
      <c r="P41" s="21" t="n">
        <v>5</v>
      </c>
      <c r="Q41" s="22" t="s">
        <v>32</v>
      </c>
      <c r="R41" s="22" t="n">
        <v>3</v>
      </c>
      <c r="S41" s="23" t="n">
        <v>7500</v>
      </c>
      <c r="T41" s="23" t="n">
        <f aca="false">S41*R41</f>
        <v>22500</v>
      </c>
      <c r="U41" s="22" t="s">
        <v>31</v>
      </c>
      <c r="X41" s="22" t="n">
        <v>33</v>
      </c>
      <c r="Y41" s="17" t="n">
        <f aca="false">K41</f>
        <v>2120</v>
      </c>
      <c r="Z41" s="19" t="n">
        <f aca="false">Y41*$F$8</f>
        <v>424000</v>
      </c>
      <c r="AA41" s="23" t="n">
        <f aca="false">$T$46</f>
        <v>295900</v>
      </c>
      <c r="AB41" s="23" t="n">
        <v>0</v>
      </c>
      <c r="AC41" s="19" t="n">
        <f aca="false">Z41-AA41-AB41</f>
        <v>128100</v>
      </c>
      <c r="AD41" s="19" t="n">
        <f aca="false">AD40+AC41</f>
        <v>1504500</v>
      </c>
    </row>
    <row r="42" customFormat="false" ht="13.8" hidden="false" customHeight="false" outlineLevel="0" collapsed="false">
      <c r="I42" s="15" t="n">
        <v>34</v>
      </c>
      <c r="J42" s="16" t="n">
        <v>10900</v>
      </c>
      <c r="K42" s="17" t="n">
        <f aca="false">J42/$E$9</f>
        <v>2180</v>
      </c>
      <c r="L42" s="18" t="n">
        <f aca="false">K42*$E$8</f>
        <v>109000</v>
      </c>
      <c r="M42" s="19" t="n">
        <f aca="false">K42*$F$8</f>
        <v>436000</v>
      </c>
      <c r="P42" s="21" t="n">
        <v>6</v>
      </c>
      <c r="Q42" s="22" t="s">
        <v>40</v>
      </c>
      <c r="R42" s="22" t="n">
        <v>3</v>
      </c>
      <c r="S42" s="23" t="n">
        <v>13500</v>
      </c>
      <c r="T42" s="23" t="n">
        <f aca="false">S42*R42</f>
        <v>40500</v>
      </c>
      <c r="U42" s="22" t="s">
        <v>31</v>
      </c>
      <c r="X42" s="22" t="n">
        <v>34</v>
      </c>
      <c r="Y42" s="17" t="n">
        <f aca="false">K42</f>
        <v>2180</v>
      </c>
      <c r="Z42" s="19" t="n">
        <f aca="false">Y42*$F$8</f>
        <v>436000</v>
      </c>
      <c r="AA42" s="23" t="n">
        <f aca="false">$T$46</f>
        <v>295900</v>
      </c>
      <c r="AB42" s="23" t="n">
        <v>0</v>
      </c>
      <c r="AC42" s="19" t="n">
        <f aca="false">Z42-AA42-AB42</f>
        <v>140100</v>
      </c>
      <c r="AD42" s="19" t="n">
        <f aca="false">AD41+AC42</f>
        <v>1644600</v>
      </c>
    </row>
    <row r="43" customFormat="false" ht="13.8" hidden="false" customHeight="false" outlineLevel="0" collapsed="false">
      <c r="I43" s="15" t="n">
        <v>35</v>
      </c>
      <c r="J43" s="16" t="n">
        <v>11200</v>
      </c>
      <c r="K43" s="17" t="n">
        <f aca="false">J43/$E$9</f>
        <v>2240</v>
      </c>
      <c r="L43" s="18" t="n">
        <f aca="false">K43*$E$8</f>
        <v>112000</v>
      </c>
      <c r="M43" s="19" t="n">
        <f aca="false">K43*$F$8</f>
        <v>448000</v>
      </c>
      <c r="P43" s="21" t="n">
        <v>7</v>
      </c>
      <c r="Q43" s="22" t="s">
        <v>34</v>
      </c>
      <c r="R43" s="22" t="n">
        <v>1</v>
      </c>
      <c r="S43" s="23" t="n">
        <v>40000</v>
      </c>
      <c r="T43" s="23" t="n">
        <f aca="false">S43*R43</f>
        <v>40000</v>
      </c>
      <c r="U43" s="22" t="s">
        <v>31</v>
      </c>
      <c r="X43" s="22" t="n">
        <v>35</v>
      </c>
      <c r="Y43" s="17" t="n">
        <f aca="false">K43</f>
        <v>2240</v>
      </c>
      <c r="Z43" s="19" t="n">
        <f aca="false">Y43*$F$8</f>
        <v>448000</v>
      </c>
      <c r="AA43" s="23" t="n">
        <f aca="false">$T$46</f>
        <v>295900</v>
      </c>
      <c r="AB43" s="23" t="n">
        <v>0</v>
      </c>
      <c r="AC43" s="19" t="n">
        <f aca="false">Z43-AA43-AB43</f>
        <v>152100</v>
      </c>
      <c r="AD43" s="19" t="n">
        <f aca="false">AD42+AC43</f>
        <v>1796700</v>
      </c>
    </row>
    <row r="44" customFormat="false" ht="13.8" hidden="false" customHeight="false" outlineLevel="0" collapsed="false">
      <c r="I44" s="15" t="n">
        <v>36</v>
      </c>
      <c r="J44" s="16" t="n">
        <v>11500</v>
      </c>
      <c r="K44" s="17" t="n">
        <f aca="false">J44/$E$9</f>
        <v>2300</v>
      </c>
      <c r="L44" s="18" t="n">
        <f aca="false">K44*$E$8</f>
        <v>115000</v>
      </c>
      <c r="M44" s="19" t="n">
        <f aca="false">K44*$F$8</f>
        <v>460000</v>
      </c>
      <c r="P44" s="21" t="n">
        <v>8</v>
      </c>
      <c r="Q44" s="22" t="s">
        <v>35</v>
      </c>
      <c r="R44" s="22" t="n">
        <v>1</v>
      </c>
      <c r="S44" s="23" t="n">
        <v>100000</v>
      </c>
      <c r="T44" s="23" t="n">
        <f aca="false">S44*R44</f>
        <v>100000</v>
      </c>
      <c r="U44" s="22"/>
      <c r="X44" s="22" t="n">
        <v>36</v>
      </c>
      <c r="Y44" s="17" t="n">
        <f aca="false">K44</f>
        <v>2300</v>
      </c>
      <c r="Z44" s="19" t="n">
        <f aca="false">Y44*$F$8</f>
        <v>460000</v>
      </c>
      <c r="AA44" s="23" t="n">
        <f aca="false">$T$46</f>
        <v>295900</v>
      </c>
      <c r="AB44" s="23" t="n">
        <v>0</v>
      </c>
      <c r="AC44" s="19" t="n">
        <f aca="false">Z44-AA44-AB44</f>
        <v>164100</v>
      </c>
      <c r="AD44" s="28" t="n">
        <f aca="false">AD43+AC44</f>
        <v>1960800</v>
      </c>
    </row>
    <row r="45" customFormat="false" ht="15" hidden="false" customHeight="false" outlineLevel="0" collapsed="false">
      <c r="I45" s="29" t="s">
        <v>38</v>
      </c>
      <c r="J45" s="30" t="n">
        <f aca="false">SUM(J9:J44)</f>
        <v>225000</v>
      </c>
      <c r="K45" s="29" t="n">
        <f aca="false">J45/$E$9</f>
        <v>45000</v>
      </c>
      <c r="L45" s="31" t="n">
        <f aca="false">K45*$E$8</f>
        <v>2250000</v>
      </c>
      <c r="M45" s="32" t="n">
        <f aca="false">K45*$F$8</f>
        <v>9000000</v>
      </c>
      <c r="P45" s="21" t="n">
        <v>9</v>
      </c>
      <c r="Q45" s="22" t="s">
        <v>36</v>
      </c>
      <c r="R45" s="22" t="n">
        <v>1</v>
      </c>
      <c r="S45" s="23" t="n">
        <v>2000</v>
      </c>
      <c r="T45" s="23" t="n">
        <f aca="false">S45*R45</f>
        <v>2000</v>
      </c>
      <c r="U45" s="22" t="s">
        <v>37</v>
      </c>
      <c r="X45" s="21" t="s">
        <v>38</v>
      </c>
      <c r="Y45" s="21" t="n">
        <f aca="false">SUM(Y9:Y44)</f>
        <v>45000</v>
      </c>
      <c r="Z45" s="33" t="n">
        <f aca="false">Y45*$F$8</f>
        <v>9000000</v>
      </c>
      <c r="AA45" s="27" t="n">
        <f aca="false">SUM(AA9:AA44)</f>
        <v>6951600</v>
      </c>
      <c r="AB45" s="23" t="n">
        <f aca="false">SUM(AB9:AB44)</f>
        <v>87600</v>
      </c>
      <c r="AC45" s="21"/>
      <c r="AD45" s="21"/>
      <c r="AE45" s="24"/>
      <c r="AF45" s="24"/>
      <c r="AG45" s="24"/>
      <c r="AH45" s="24"/>
    </row>
    <row r="46" customFormat="false" ht="15" hidden="false" customHeight="false" outlineLevel="0" collapsed="false">
      <c r="P46" s="24"/>
      <c r="R46" s="25" t="s">
        <v>38</v>
      </c>
      <c r="S46" s="26" t="n">
        <f aca="false">SUM(S37:S45)</f>
        <v>183100</v>
      </c>
      <c r="T46" s="27" t="n">
        <f aca="false">SUM(T37:T45)</f>
        <v>295900</v>
      </c>
    </row>
    <row r="51" customFormat="false" ht="21" hidden="false" customHeight="false" outlineLevel="0" collapsed="false">
      <c r="P51" s="4" t="s">
        <v>42</v>
      </c>
      <c r="Q51" s="4"/>
      <c r="R51" s="4"/>
      <c r="S51" s="4"/>
      <c r="T51" s="4"/>
      <c r="U51" s="4"/>
    </row>
    <row r="52" customFormat="false" ht="45" hidden="false" customHeight="false" outlineLevel="0" collapsed="false">
      <c r="P52" s="10" t="s">
        <v>11</v>
      </c>
      <c r="Q52" s="10" t="s">
        <v>12</v>
      </c>
      <c r="R52" s="10" t="s">
        <v>13</v>
      </c>
      <c r="S52" s="10" t="s">
        <v>14</v>
      </c>
      <c r="T52" s="10" t="s">
        <v>15</v>
      </c>
      <c r="U52" s="10" t="s">
        <v>16</v>
      </c>
    </row>
    <row r="53" customFormat="false" ht="15" hidden="false" customHeight="false" outlineLevel="0" collapsed="false">
      <c r="P53" s="22" t="n">
        <v>1</v>
      </c>
      <c r="Q53" s="22" t="s">
        <v>43</v>
      </c>
      <c r="R53" s="22" t="n">
        <v>5</v>
      </c>
      <c r="S53" s="23" t="n">
        <v>4000</v>
      </c>
      <c r="T53" s="23" t="n">
        <f aca="false">R53*S53</f>
        <v>20000</v>
      </c>
      <c r="U53" s="22"/>
    </row>
    <row r="54" customFormat="false" ht="15" hidden="false" customHeight="false" outlineLevel="0" collapsed="false">
      <c r="P54" s="22" t="n">
        <v>2</v>
      </c>
      <c r="Q54" s="22" t="s">
        <v>44</v>
      </c>
      <c r="R54" s="22" t="n">
        <v>4</v>
      </c>
      <c r="S54" s="23" t="n">
        <v>1600</v>
      </c>
      <c r="T54" s="23" t="n">
        <f aca="false">R54*S54</f>
        <v>6400</v>
      </c>
      <c r="U54" s="22"/>
    </row>
    <row r="55" customFormat="false" ht="15" hidden="false" customHeight="false" outlineLevel="0" collapsed="false">
      <c r="P55" s="22" t="n">
        <v>3</v>
      </c>
      <c r="Q55" s="22" t="s">
        <v>45</v>
      </c>
      <c r="R55" s="22" t="n">
        <v>1</v>
      </c>
      <c r="S55" s="23" t="n">
        <v>600</v>
      </c>
      <c r="T55" s="23" t="n">
        <f aca="false">R55*S55</f>
        <v>600</v>
      </c>
      <c r="U55" s="22"/>
    </row>
    <row r="56" customFormat="false" ht="15" hidden="false" customHeight="false" outlineLevel="0" collapsed="false">
      <c r="P56" s="22" t="n">
        <v>4</v>
      </c>
      <c r="Q56" s="22" t="s">
        <v>46</v>
      </c>
      <c r="R56" s="22" t="n">
        <v>1</v>
      </c>
      <c r="S56" s="23" t="n">
        <v>3000</v>
      </c>
      <c r="T56" s="23" t="n">
        <f aca="false">R56*S56</f>
        <v>3000</v>
      </c>
      <c r="U56" s="22"/>
    </row>
    <row r="57" customFormat="false" ht="15" hidden="false" customHeight="false" outlineLevel="0" collapsed="false">
      <c r="S57" s="21" t="s">
        <v>38</v>
      </c>
      <c r="T57" s="27" t="n">
        <f aca="false">SUM(T53:T56)</f>
        <v>30000</v>
      </c>
    </row>
    <row r="60" customFormat="false" ht="21" hidden="false" customHeight="false" outlineLevel="0" collapsed="false">
      <c r="P60" s="4" t="s">
        <v>47</v>
      </c>
      <c r="Q60" s="4"/>
      <c r="R60" s="4"/>
      <c r="S60" s="4"/>
      <c r="T60" s="4"/>
      <c r="U60" s="4"/>
    </row>
    <row r="61" customFormat="false" ht="45" hidden="false" customHeight="false" outlineLevel="0" collapsed="false">
      <c r="P61" s="10" t="s">
        <v>11</v>
      </c>
      <c r="Q61" s="10" t="s">
        <v>12</v>
      </c>
      <c r="R61" s="10" t="s">
        <v>13</v>
      </c>
      <c r="S61" s="10" t="s">
        <v>14</v>
      </c>
      <c r="T61" s="10" t="s">
        <v>15</v>
      </c>
      <c r="U61" s="10" t="s">
        <v>16</v>
      </c>
    </row>
    <row r="62" customFormat="false" ht="15" hidden="false" customHeight="false" outlineLevel="0" collapsed="false">
      <c r="P62" s="22" t="n">
        <v>1</v>
      </c>
      <c r="Q62" s="22" t="s">
        <v>43</v>
      </c>
      <c r="R62" s="22" t="n">
        <v>5</v>
      </c>
      <c r="S62" s="23" t="n">
        <v>4000</v>
      </c>
      <c r="T62" s="23" t="n">
        <f aca="false">R62*S62</f>
        <v>20000</v>
      </c>
      <c r="U62" s="22"/>
    </row>
    <row r="63" customFormat="false" ht="15" hidden="false" customHeight="false" outlineLevel="0" collapsed="false">
      <c r="P63" s="22" t="n">
        <v>2</v>
      </c>
      <c r="Q63" s="22" t="s">
        <v>44</v>
      </c>
      <c r="R63" s="22" t="n">
        <v>2</v>
      </c>
      <c r="S63" s="23" t="n">
        <v>1600</v>
      </c>
      <c r="T63" s="23" t="n">
        <f aca="false">R63*S63</f>
        <v>3200</v>
      </c>
      <c r="U63" s="22"/>
    </row>
    <row r="64" customFormat="false" ht="15" hidden="false" customHeight="false" outlineLevel="0" collapsed="false">
      <c r="P64" s="22" t="n">
        <v>3</v>
      </c>
      <c r="Q64" s="22" t="s">
        <v>45</v>
      </c>
      <c r="R64" s="22" t="n">
        <v>1</v>
      </c>
      <c r="S64" s="23" t="n">
        <v>600</v>
      </c>
      <c r="T64" s="23" t="n">
        <f aca="false">R64*S64</f>
        <v>600</v>
      </c>
      <c r="U64" s="22"/>
    </row>
    <row r="65" customFormat="false" ht="15" hidden="false" customHeight="false" outlineLevel="0" collapsed="false">
      <c r="P65" s="22" t="n">
        <v>4</v>
      </c>
      <c r="Q65" s="22" t="s">
        <v>46</v>
      </c>
      <c r="R65" s="22" t="n">
        <v>1</v>
      </c>
      <c r="S65" s="23" t="n">
        <v>5000</v>
      </c>
      <c r="T65" s="23" t="n">
        <f aca="false">R65*S65</f>
        <v>5000</v>
      </c>
      <c r="U65" s="22"/>
    </row>
    <row r="66" customFormat="false" ht="15" hidden="false" customHeight="false" outlineLevel="0" collapsed="false">
      <c r="S66" s="21" t="s">
        <v>38</v>
      </c>
      <c r="T66" s="27" t="n">
        <f aca="false">SUM(T62:T65)</f>
        <v>28800</v>
      </c>
    </row>
    <row r="69" customFormat="false" ht="21" hidden="false" customHeight="false" outlineLevel="0" collapsed="false">
      <c r="P69" s="4" t="s">
        <v>48</v>
      </c>
      <c r="Q69" s="4"/>
      <c r="R69" s="4"/>
      <c r="S69" s="4"/>
      <c r="T69" s="4"/>
      <c r="U69" s="4"/>
    </row>
    <row r="70" customFormat="false" ht="45" hidden="false" customHeight="false" outlineLevel="0" collapsed="false">
      <c r="P70" s="10" t="s">
        <v>11</v>
      </c>
      <c r="Q70" s="10" t="s">
        <v>12</v>
      </c>
      <c r="R70" s="10" t="s">
        <v>13</v>
      </c>
      <c r="S70" s="10" t="s">
        <v>14</v>
      </c>
      <c r="T70" s="10" t="s">
        <v>15</v>
      </c>
      <c r="U70" s="10" t="s">
        <v>16</v>
      </c>
    </row>
    <row r="71" customFormat="false" ht="15" hidden="false" customHeight="false" outlineLevel="0" collapsed="false">
      <c r="P71" s="22" t="n">
        <v>1</v>
      </c>
      <c r="Q71" s="22" t="s">
        <v>43</v>
      </c>
      <c r="R71" s="22" t="n">
        <v>5</v>
      </c>
      <c r="S71" s="23" t="n">
        <v>4000</v>
      </c>
      <c r="T71" s="23" t="n">
        <f aca="false">R71*S71</f>
        <v>20000</v>
      </c>
      <c r="U71" s="22"/>
    </row>
    <row r="72" customFormat="false" ht="15" hidden="false" customHeight="false" outlineLevel="0" collapsed="false">
      <c r="P72" s="22" t="n">
        <v>2</v>
      </c>
      <c r="Q72" s="22" t="s">
        <v>44</v>
      </c>
      <c r="R72" s="22" t="n">
        <v>2</v>
      </c>
      <c r="S72" s="23" t="n">
        <v>1600</v>
      </c>
      <c r="T72" s="23" t="n">
        <f aca="false">R72*S72</f>
        <v>3200</v>
      </c>
      <c r="U72" s="22"/>
    </row>
    <row r="73" customFormat="false" ht="15" hidden="false" customHeight="false" outlineLevel="0" collapsed="false">
      <c r="P73" s="22" t="n">
        <v>3</v>
      </c>
      <c r="Q73" s="22" t="s">
        <v>45</v>
      </c>
      <c r="R73" s="22" t="n">
        <v>1</v>
      </c>
      <c r="S73" s="23" t="n">
        <v>600</v>
      </c>
      <c r="T73" s="23" t="n">
        <f aca="false">R73*S73</f>
        <v>600</v>
      </c>
      <c r="U73" s="22"/>
    </row>
    <row r="74" customFormat="false" ht="15" hidden="false" customHeight="false" outlineLevel="0" collapsed="false">
      <c r="P74" s="22" t="n">
        <v>4</v>
      </c>
      <c r="Q74" s="22" t="s">
        <v>46</v>
      </c>
      <c r="R74" s="22" t="n">
        <v>1</v>
      </c>
      <c r="S74" s="23" t="n">
        <v>5000</v>
      </c>
      <c r="T74" s="23" t="n">
        <f aca="false">R74*S74</f>
        <v>5000</v>
      </c>
      <c r="U74" s="22"/>
    </row>
    <row r="75" customFormat="false" ht="15" hidden="false" customHeight="false" outlineLevel="0" collapsed="false">
      <c r="S75" s="21" t="s">
        <v>38</v>
      </c>
      <c r="T75" s="27" t="n">
        <f aca="false">SUM(T71:T74)</f>
        <v>28800</v>
      </c>
    </row>
  </sheetData>
  <mergeCells count="12">
    <mergeCell ref="F4:S4"/>
    <mergeCell ref="C7:G7"/>
    <mergeCell ref="I7:M7"/>
    <mergeCell ref="P7:U7"/>
    <mergeCell ref="X7:AD7"/>
    <mergeCell ref="C8:D8"/>
    <mergeCell ref="C9:D9"/>
    <mergeCell ref="P21:U21"/>
    <mergeCell ref="P35:U35"/>
    <mergeCell ref="P51:U51"/>
    <mergeCell ref="P60:U60"/>
    <mergeCell ref="P69:U6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2006-09-22T13:37:51Z</dcterms:created>
  <dc:creator/>
  <dc:description/>
  <dc:language>pl-PL</dc:language>
  <cp:lastModifiedBy/>
  <dcterms:modified xsi:type="dcterms:W3CDTF">2025-12-03T14:33:27Z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